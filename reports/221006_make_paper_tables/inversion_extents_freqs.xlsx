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/Gits/aaeg1000g_analyses/reports/221006_make_paper_tables/"/>
    </mc:Choice>
  </mc:AlternateContent>
  <xr:revisionPtr revIDLastSave="0" documentId="13_ncr:40009_{FCBB8034-1252-6A41-9C2C-42A048007F16}" xr6:coauthVersionLast="47" xr6:coauthVersionMax="47" xr10:uidLastSave="{00000000-0000-0000-0000-000000000000}"/>
  <bookViews>
    <workbookView xWindow="-25900" yWindow="1100" windowWidth="22320" windowHeight="14780"/>
  </bookViews>
  <sheets>
    <sheet name="inversion_extents_freq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B2" i="2"/>
  <c r="C2" i="2" s="1"/>
  <c r="D9" i="2"/>
  <c r="C9" i="2"/>
  <c r="B9" i="2"/>
  <c r="D8" i="2"/>
  <c r="C8" i="2"/>
  <c r="B8" i="2"/>
  <c r="B3" i="2"/>
  <c r="C3" i="2" s="1"/>
  <c r="B4" i="2" l="1"/>
  <c r="C4" i="2" s="1"/>
</calcChain>
</file>

<file path=xl/sharedStrings.xml><?xml version="1.0" encoding="utf-8"?>
<sst xmlns="http://schemas.openxmlformats.org/spreadsheetml/2006/main" count="36" uniqueCount="36">
  <si>
    <t>inversion</t>
  </si>
  <si>
    <t>region</t>
  </si>
  <si>
    <t>size</t>
  </si>
  <si>
    <t>X1_Gabon_1</t>
  </si>
  <si>
    <t>X1_global_1</t>
  </si>
  <si>
    <t>X1_PuertoRico_1</t>
  </si>
  <si>
    <t>X1_PuertoRico_3</t>
  </si>
  <si>
    <t>X1_Senegal_1</t>
  </si>
  <si>
    <t>X1_Uganda_2</t>
  </si>
  <si>
    <t>X1_Wafrica_1</t>
  </si>
  <si>
    <t>X2_BurkinaFaso_1</t>
  </si>
  <si>
    <t>X2_SaudiArabia_1</t>
  </si>
  <si>
    <t>X2_Senegal_1</t>
  </si>
  <si>
    <t>size (mb)</t>
  </si>
  <si>
    <t>f (global)</t>
  </si>
  <si>
    <t>f (Afr)</t>
  </si>
  <si>
    <t>f (RoW)</t>
  </si>
  <si>
    <t>1:1,500,000-17,000,000</t>
  </si>
  <si>
    <t>1:148,000,000-160,500,000</t>
  </si>
  <si>
    <t>1:107,000,000-109,500,000</t>
  </si>
  <si>
    <t>1:248,500,000-252,000,000</t>
  </si>
  <si>
    <t>1:264,500,000-309,000,000</t>
  </si>
  <si>
    <t>1:302,500,000-308,000,000</t>
  </si>
  <si>
    <t>1:162,000,000-170500,000</t>
  </si>
  <si>
    <t>2:464,500,000-473,000,000</t>
  </si>
  <si>
    <t>2:227,000,000-239,000,000</t>
  </si>
  <si>
    <t>2:306,500,000-317,000,000</t>
  </si>
  <si>
    <t>min</t>
  </si>
  <si>
    <t>max</t>
  </si>
  <si>
    <t>mean</t>
  </si>
  <si>
    <t>cov (C1)</t>
  </si>
  <si>
    <t>freq</t>
  </si>
  <si>
    <t>cov (C2)</t>
  </si>
  <si>
    <t>cov (all)</t>
  </si>
  <si>
    <t>chr</t>
  </si>
  <si>
    <t>len (bp)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</si>
</sst>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0.0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0212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NumberFormat="1" applyFont="1"/>
    <xf numFmtId="18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137" workbookViewId="0">
      <selection activeCell="A17" sqref="A17"/>
    </sheetView>
  </sheetViews>
  <sheetFormatPr baseColWidth="10" defaultRowHeight="16" x14ac:dyDescent="0.2"/>
  <cols>
    <col min="1" max="1" width="17.33203125" customWidth="1"/>
    <col min="2" max="2" width="22.5" customWidth="1"/>
    <col min="3" max="3" width="10.83203125" style="1"/>
    <col min="4" max="4" width="10.83203125" style="2"/>
    <col min="5" max="5" width="9.83203125" style="2" customWidth="1"/>
    <col min="6" max="6" width="10.83203125" style="2"/>
    <col min="8" max="8" width="18.1640625" customWidth="1"/>
  </cols>
  <sheetData>
    <row r="1" spans="1:6" x14ac:dyDescent="0.2">
      <c r="A1" t="s">
        <v>0</v>
      </c>
      <c r="B1" t="s">
        <v>1</v>
      </c>
      <c r="C1" s="1" t="s">
        <v>13</v>
      </c>
      <c r="D1" s="2" t="s">
        <v>14</v>
      </c>
      <c r="E1" s="2" t="s">
        <v>15</v>
      </c>
      <c r="F1" s="2" t="s">
        <v>16</v>
      </c>
    </row>
    <row r="2" spans="1:6" x14ac:dyDescent="0.2">
      <c r="A2" t="s">
        <v>3</v>
      </c>
      <c r="B2" t="s">
        <v>17</v>
      </c>
      <c r="C2" s="1">
        <v>15.5</v>
      </c>
      <c r="D2" s="2">
        <v>0.157</v>
      </c>
      <c r="E2" s="2">
        <v>0.378</v>
      </c>
      <c r="F2" s="2">
        <v>8.9999999999999993E-3</v>
      </c>
    </row>
    <row r="3" spans="1:6" x14ac:dyDescent="0.2">
      <c r="A3" t="s">
        <v>5</v>
      </c>
      <c r="B3" t="s">
        <v>19</v>
      </c>
      <c r="C3" s="1">
        <v>2.5</v>
      </c>
      <c r="D3" s="2">
        <v>2.4E-2</v>
      </c>
      <c r="E3" s="2">
        <v>1.4999999999999999E-2</v>
      </c>
      <c r="F3" s="2">
        <v>0.03</v>
      </c>
    </row>
    <row r="4" spans="1:6" x14ac:dyDescent="0.2">
      <c r="A4" t="s">
        <v>4</v>
      </c>
      <c r="B4" t="s">
        <v>18</v>
      </c>
      <c r="C4" s="1">
        <v>12.5</v>
      </c>
      <c r="D4" s="2">
        <v>0.11700000000000001</v>
      </c>
      <c r="E4" s="2">
        <v>0.23699999999999999</v>
      </c>
      <c r="F4" s="2">
        <v>3.6999999999999998E-2</v>
      </c>
    </row>
    <row r="5" spans="1:6" x14ac:dyDescent="0.2">
      <c r="A5" t="s">
        <v>9</v>
      </c>
      <c r="B5" t="s">
        <v>23</v>
      </c>
      <c r="C5" s="1">
        <v>8.5</v>
      </c>
      <c r="D5" s="2">
        <v>7.5999999999999998E-2</v>
      </c>
      <c r="E5" s="2">
        <v>9.6000000000000002E-2</v>
      </c>
      <c r="F5" s="2">
        <v>6.3E-2</v>
      </c>
    </row>
    <row r="6" spans="1:6" x14ac:dyDescent="0.2">
      <c r="A6" t="s">
        <v>6</v>
      </c>
      <c r="B6" t="s">
        <v>20</v>
      </c>
      <c r="C6" s="1">
        <v>3.5</v>
      </c>
      <c r="D6" s="2">
        <v>5.6000000000000001E-2</v>
      </c>
      <c r="E6" s="2">
        <v>2.1000000000000001E-2</v>
      </c>
      <c r="F6" s="2">
        <v>0.08</v>
      </c>
    </row>
    <row r="7" spans="1:6" x14ac:dyDescent="0.2">
      <c r="A7" t="s">
        <v>7</v>
      </c>
      <c r="B7" t="s">
        <v>21</v>
      </c>
      <c r="C7" s="1">
        <v>44.5</v>
      </c>
      <c r="D7" s="2">
        <v>2.5000000000000001E-2</v>
      </c>
      <c r="E7" s="2">
        <v>6.2E-2</v>
      </c>
      <c r="F7" s="2">
        <v>0</v>
      </c>
    </row>
    <row r="8" spans="1:6" x14ac:dyDescent="0.2">
      <c r="A8" t="s">
        <v>8</v>
      </c>
      <c r="B8" t="s">
        <v>22</v>
      </c>
      <c r="C8" s="1">
        <v>5.5</v>
      </c>
      <c r="D8" s="2">
        <v>0.06</v>
      </c>
      <c r="E8" s="2">
        <v>0.123</v>
      </c>
      <c r="F8" s="2">
        <v>1.7999999999999999E-2</v>
      </c>
    </row>
    <row r="10" spans="1:6" x14ac:dyDescent="0.2">
      <c r="A10" t="s">
        <v>11</v>
      </c>
      <c r="B10" t="s">
        <v>25</v>
      </c>
      <c r="C10" s="1">
        <v>12</v>
      </c>
      <c r="D10" s="2">
        <v>0.17699999999999999</v>
      </c>
      <c r="E10" s="2">
        <v>3.5999999999999997E-2</v>
      </c>
      <c r="F10" s="2">
        <v>0.27100000000000002</v>
      </c>
    </row>
    <row r="11" spans="1:6" x14ac:dyDescent="0.2">
      <c r="A11" t="s">
        <v>12</v>
      </c>
      <c r="B11" t="s">
        <v>26</v>
      </c>
      <c r="C11" s="1">
        <v>10.5</v>
      </c>
      <c r="D11" s="2">
        <v>0.56599999999999995</v>
      </c>
      <c r="E11" s="2">
        <v>0.20499999999999999</v>
      </c>
      <c r="F11" s="2">
        <v>0.80800000000000005</v>
      </c>
    </row>
    <row r="12" spans="1:6" x14ac:dyDescent="0.2">
      <c r="A12" t="s">
        <v>10</v>
      </c>
      <c r="B12" t="s">
        <v>24</v>
      </c>
      <c r="C12" s="1">
        <v>8.5</v>
      </c>
      <c r="D12" s="2">
        <v>2E-3</v>
      </c>
      <c r="E12" s="2">
        <v>4.0000000000000001E-3</v>
      </c>
      <c r="F12" s="2">
        <v>0</v>
      </c>
    </row>
    <row r="24" customFormat="1" x14ac:dyDescent="0.2"/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2" sqref="C2:C3"/>
    </sheetView>
  </sheetViews>
  <sheetFormatPr baseColWidth="10" defaultRowHeight="16" x14ac:dyDescent="0.2"/>
  <cols>
    <col min="3" max="3" width="10.83203125" customWidth="1"/>
  </cols>
  <sheetData>
    <row r="1" spans="1:6" x14ac:dyDescent="0.2">
      <c r="A1" s="1"/>
      <c r="B1" s="2"/>
      <c r="C1" s="2"/>
      <c r="D1" s="2"/>
      <c r="E1" t="s">
        <v>34</v>
      </c>
      <c r="F1" t="s">
        <v>35</v>
      </c>
    </row>
    <row r="2" spans="1:6" x14ac:dyDescent="0.2">
      <c r="A2" t="s">
        <v>30</v>
      </c>
      <c r="B2">
        <f>SUM(inversion_extents_freqs!C2:C7)</f>
        <v>87</v>
      </c>
      <c r="C2" s="4">
        <f>B2/(F2/1000000)</f>
        <v>0.27989844460820396</v>
      </c>
      <c r="E2">
        <v>1</v>
      </c>
      <c r="F2" s="3">
        <v>310827022</v>
      </c>
    </row>
    <row r="3" spans="1:6" x14ac:dyDescent="0.2">
      <c r="A3" t="s">
        <v>32</v>
      </c>
      <c r="B3">
        <f>SUM(inversion_extents_freqs!C10:C12)</f>
        <v>31</v>
      </c>
      <c r="C3" s="4">
        <f>B3/(F3/1000000)</f>
        <v>6.5342157801580883E-2</v>
      </c>
      <c r="E3">
        <v>2</v>
      </c>
      <c r="F3" s="3">
        <v>474425716</v>
      </c>
    </row>
    <row r="4" spans="1:6" x14ac:dyDescent="0.2">
      <c r="A4" t="s">
        <v>33</v>
      </c>
      <c r="B4">
        <f>SUM(B2:B3)</f>
        <v>118</v>
      </c>
      <c r="C4" s="4">
        <f>B4/(SUM(F2:F4)/1000000)</f>
        <v>9.8742257276519432E-2</v>
      </c>
      <c r="E4">
        <v>3</v>
      </c>
      <c r="F4" s="3">
        <v>409777670</v>
      </c>
    </row>
    <row r="7" spans="1:6" x14ac:dyDescent="0.2">
      <c r="B7" t="s">
        <v>27</v>
      </c>
      <c r="C7" t="s">
        <v>28</v>
      </c>
      <c r="D7" t="s">
        <v>29</v>
      </c>
    </row>
    <row r="8" spans="1:6" x14ac:dyDescent="0.2">
      <c r="A8" t="s">
        <v>2</v>
      </c>
      <c r="B8">
        <f>MIN(inversion_extents_freqs!C2:C12)</f>
        <v>2.5</v>
      </c>
      <c r="C8">
        <f>MAX(inversion_extents_freqs!C2:C12)</f>
        <v>44.5</v>
      </c>
      <c r="D8">
        <f>AVERAGE(inversion_extents_freqs!C2:C12)</f>
        <v>12.35</v>
      </c>
      <c r="E8">
        <f>MEDIAN(inversion_extents_freqs!C2:C12)</f>
        <v>9.5</v>
      </c>
    </row>
    <row r="9" spans="1:6" x14ac:dyDescent="0.2">
      <c r="A9" t="s">
        <v>31</v>
      </c>
      <c r="B9">
        <f>MIN(inversion_extents_freqs!D2:D12)</f>
        <v>2E-3</v>
      </c>
      <c r="C9">
        <f>MAX(inversion_extents_freqs!D2:D12)</f>
        <v>0.56599999999999995</v>
      </c>
      <c r="D9">
        <f>AVERAGE(inversion_extents_freqs!D2:D12)</f>
        <v>0.126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inversion_extents_freqs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2022-10-06T18:27:03Z</dcterms:created>
  <dcterms:modified xsi:type="dcterms:W3CDTF">2022-10-07T18:49:41Z</dcterms:modified>
</cp:coreProperties>
</file>